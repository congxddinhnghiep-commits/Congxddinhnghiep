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" sheetId="1" r:id="rId1"/>
    <sheet name="DTCT" sheetId="2" r:id="rId2"/>
    <sheet name="THV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BẢNG TỔNG HỢP CHI PHÍ XÂY DỰNG</v>
      </c>
    </row>
    <row r="2">
      <c r="A2" t="str">
        <v>STT</v>
      </c>
      <c r="B2" t="str">
        <v>Khoản mục chi phí</v>
      </c>
      <c r="C2" t="str">
        <v>Cách tính</v>
      </c>
      <c r="D2" t="str">
        <v>Giá trị</v>
      </c>
      <c r="E2" t="str">
        <v>Ký hiệu</v>
      </c>
    </row>
    <row r="3">
      <c r="A3" t="str">
        <v>I</v>
      </c>
      <c r="B3" t="str">
        <v>Chi phí trực tiếp</v>
      </c>
      <c r="C3" t="str">
        <v>VL+NC+M</v>
      </c>
      <c r="D3">
        <v>1000000</v>
      </c>
      <c r="E3" t="str">
        <v>T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BẢNG DỰ TOÁN CHI TIẾT</v>
      </c>
    </row>
    <row r="2">
      <c r="A2" t="str">
        <v>Công trình: Nhà làm việc 2 tầng – Hạng mục: Xây dựng</v>
      </c>
    </row>
    <row r="4">
      <c r="A4" t="str">
        <v>STT</v>
      </c>
      <c r="B4" t="str">
        <v>Mã hiệu</v>
      </c>
      <c r="C4" t="str">
        <v>Nội dung công việc</v>
      </c>
      <c r="D4" t="str">
        <v>Đơn vị</v>
      </c>
      <c r="E4" t="str">
        <v>Khối lượng</v>
      </c>
      <c r="F4" t="str">
        <v>Đơn giá</v>
      </c>
      <c r="I4" t="str">
        <v>Thành tiền</v>
      </c>
    </row>
    <row r="5">
      <c r="F5" t="str">
        <v>Vật liệu</v>
      </c>
      <c r="G5" t="str">
        <v>Nhân công</v>
      </c>
      <c r="H5" t="str">
        <v>Máy</v>
      </c>
      <c r="I5" t="str">
        <v>Vật liệu</v>
      </c>
      <c r="J5" t="str">
        <v>Nhân công</v>
      </c>
      <c r="K5" t="str">
        <v>Máy</v>
      </c>
    </row>
    <row r="6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</row>
    <row r="7">
      <c r="A7" t="str">
        <v>I</v>
      </c>
      <c r="C7" t="str">
        <v>PHẦN MÓNG</v>
      </c>
    </row>
    <row r="8">
      <c r="A8">
        <v>1</v>
      </c>
      <c r="B8" t="str">
        <v>AB.25112</v>
      </c>
      <c r="C8" t="str">
        <v>Đào móng công trình bằng máy đào ≤0,8m3, đất cấp II</v>
      </c>
      <c r="D8" t="str">
        <v>100m3</v>
      </c>
      <c r="E8">
        <v>2.5</v>
      </c>
      <c r="F8">
        <v>0</v>
      </c>
      <c r="G8">
        <v>1347500</v>
      </c>
      <c r="H8">
        <v>1120000</v>
      </c>
      <c r="I8">
        <f>E8*F8</f>
        <v>0</v>
      </c>
      <c r="J8">
        <f>E8*G8</f>
        <v>3368750</v>
      </c>
      <c r="K8">
        <f>E8*H8</f>
        <v>2800000</v>
      </c>
    </row>
    <row r="9">
      <c r="A9">
        <v>2</v>
      </c>
      <c r="B9" t="str">
        <v>AF.11111</v>
      </c>
      <c r="C9" t="str">
        <v>Bê tông lót móng, rộng ≤250cm, đá 4x6, mác 100</v>
      </c>
      <c r="D9" t="str">
        <v>m3</v>
      </c>
      <c r="E9">
        <v>12.3</v>
      </c>
      <c r="F9">
        <v>835613</v>
      </c>
      <c r="G9">
        <v>372040</v>
      </c>
      <c r="H9">
        <v>51760</v>
      </c>
      <c r="I9">
        <f>E9*F9</f>
        <v>10278039.9</v>
      </c>
      <c r="J9">
        <f>E9*G9</f>
        <v>4576092</v>
      </c>
      <c r="K9">
        <f>E9*H9</f>
        <v>636648</v>
      </c>
    </row>
    <row r="10">
      <c r="A10">
        <v>3</v>
      </c>
      <c r="B10" t="str">
        <v>AF.11213</v>
      </c>
      <c r="C10" t="str">
        <v>Bê tông móng, rộng ≤250cm, đá 1x2, mác 250</v>
      </c>
      <c r="D10" t="str">
        <v>m3</v>
      </c>
      <c r="E10">
        <v>45.6</v>
      </c>
      <c r="F10">
        <v>1150000</v>
      </c>
      <c r="G10">
        <v>429680</v>
      </c>
      <c r="H10">
        <v>75400</v>
      </c>
      <c r="I10">
        <f>E10*F10</f>
        <v>52440000</v>
      </c>
      <c r="J10">
        <f>E10*G10</f>
        <v>19593408</v>
      </c>
      <c r="K10">
        <f>E10*H10</f>
        <v>3438240</v>
      </c>
    </row>
    <row r="11">
      <c r="A11">
        <v>4</v>
      </c>
      <c r="B11" t="str">
        <v>AF.61120</v>
      </c>
      <c r="C11" t="str">
        <v>Sản xuất, lắp dựng cốt thép móng, đường kính ≤18mm</v>
      </c>
      <c r="D11" t="str">
        <v>tấn</v>
      </c>
      <c r="E11">
        <v>3.25</v>
      </c>
      <c r="F11">
        <v>17800000</v>
      </c>
      <c r="G11">
        <v>2268480</v>
      </c>
      <c r="H11">
        <v>474600</v>
      </c>
      <c r="I11">
        <f>E11*F11</f>
        <v>57850000</v>
      </c>
      <c r="J11">
        <f>E11*G11</f>
        <v>7372560</v>
      </c>
      <c r="K11">
        <f>E11*H11</f>
        <v>1542450</v>
      </c>
    </row>
    <row r="12">
      <c r="C12" t="str">
        <v>Cộng hạng mục phần móng</v>
      </c>
    </row>
    <row r="13">
      <c r="A13" t="str">
        <v>II</v>
      </c>
      <c r="C13" t="str">
        <v>PHẦN THÂN</v>
      </c>
    </row>
    <row r="14">
      <c r="A14">
        <v>5</v>
      </c>
      <c r="B14" t="str">
        <v>AF.12224</v>
      </c>
      <c r="C14" t="str">
        <v>Bê tông cột, tiết diện &gt;0,1m2, cao ≤6m, đá 1x2, mác 300</v>
      </c>
      <c r="D14" t="str">
        <v>m3</v>
      </c>
      <c r="E14">
        <v>18.4</v>
      </c>
      <c r="F14">
        <v>1250000</v>
      </c>
      <c r="G14">
        <v>826880</v>
      </c>
      <c r="H14">
        <v>144000</v>
      </c>
      <c r="I14">
        <f>E14*F14</f>
        <v>23000000</v>
      </c>
      <c r="J14">
        <f>E14*G14</f>
        <v>15214591.999999998</v>
      </c>
      <c r="K14">
        <f>E14*H14</f>
        <v>2649600</v>
      </c>
    </row>
    <row r="15">
      <c r="A15">
        <v>6</v>
      </c>
      <c r="B15" t="str">
        <v>AF.81132</v>
      </c>
      <c r="C15" t="str">
        <v>Ván khuôn gỗ cột vuông, chữ nhật</v>
      </c>
      <c r="D15" t="str">
        <v>100m2</v>
      </c>
      <c r="E15">
        <v>1.85</v>
      </c>
      <c r="F15">
        <v>5600000</v>
      </c>
      <c r="G15">
        <v>8932000</v>
      </c>
      <c r="H15">
        <v>0</v>
      </c>
      <c r="I15">
        <f>E15*F15</f>
        <v>10360000</v>
      </c>
      <c r="J15">
        <f>E15*G15</f>
        <v>16524200</v>
      </c>
      <c r="K15">
        <f>E15*H15</f>
        <v>0</v>
      </c>
    </row>
    <row r="16">
      <c r="A16">
        <v>7</v>
      </c>
      <c r="B16" t="str">
        <v>AE.22214</v>
      </c>
      <c r="C16" t="str">
        <v>Xây tường thẳng gạch đặc, dày ≤11cm, cao ≤6m, vữa XM mác 75</v>
      </c>
      <c r="D16" t="str">
        <v>m3</v>
      </c>
      <c r="E16">
        <v>36.2</v>
      </c>
      <c r="F16">
        <v>1050000</v>
      </c>
      <c r="G16">
        <v>660960</v>
      </c>
      <c r="H16">
        <v>48000</v>
      </c>
      <c r="I16">
        <f>E16*F16</f>
        <v>38010000</v>
      </c>
      <c r="J16">
        <f>E16*G16</f>
        <v>23926752.000000004</v>
      </c>
      <c r="K16">
        <f>E16*H16</f>
        <v>1737600.0000000002</v>
      </c>
    </row>
    <row r="17">
      <c r="A17">
        <v>8</v>
      </c>
      <c r="B17" t="str">
        <v>ZZ.99999</v>
      </c>
      <c r="C17" t="str">
        <v>Lắp đặt cửa nhôm kính hệ 55</v>
      </c>
      <c r="D17" t="str">
        <v>m2</v>
      </c>
      <c r="E17">
        <v>24</v>
      </c>
      <c r="F17">
        <v>2100000</v>
      </c>
      <c r="G17">
        <v>150000</v>
      </c>
      <c r="H17">
        <v>0</v>
      </c>
      <c r="I17">
        <f>E17*F17</f>
        <v>50400000</v>
      </c>
      <c r="J17">
        <f>E17*G17</f>
        <v>3600000</v>
      </c>
      <c r="K17">
        <f>E17*H17</f>
        <v>0</v>
      </c>
    </row>
    <row r="18">
      <c r="C18" t="str">
        <v>Cộng hạng mục phần thân</v>
      </c>
    </row>
    <row r="19">
      <c r="C19" t="str">
        <v>TỔNG CỘNG</v>
      </c>
    </row>
  </sheetData>
  <mergeCells count="9">
    <mergeCell ref="A1:K1"/>
    <mergeCell ref="A2:K2"/>
    <mergeCell ref="A4:A5"/>
    <mergeCell ref="B4:B5"/>
    <mergeCell ref="C4:C5"/>
    <mergeCell ref="D4:D5"/>
    <mergeCell ref="E4:E5"/>
    <mergeCell ref="F4:H4"/>
    <mergeCell ref="I4:K4"/>
  </mergeCells>
  <ignoredErrors>
    <ignoredError numberStoredAsText="1" sqref="A1:K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BẢNG TỔNG HỢP VẬT TƯ</v>
      </c>
    </row>
    <row r="2">
      <c r="A2" t="str">
        <v>STT</v>
      </c>
      <c r="B2" t="str">
        <v>Mã vật tư</v>
      </c>
      <c r="C2" t="str">
        <v>Tên vật tư</v>
      </c>
      <c r="D2" t="str">
        <v>Đơn vị</v>
      </c>
      <c r="E2" t="str">
        <v>Khối lượng</v>
      </c>
      <c r="F2" t="str">
        <v>Giá</v>
      </c>
      <c r="G2" t="str">
        <v>Thành tiền</v>
      </c>
    </row>
    <row r="3">
      <c r="A3">
        <v>1</v>
      </c>
      <c r="B3" t="str">
        <v>V.XM40</v>
      </c>
      <c r="C3" t="str">
        <v>Xi măng PCB40</v>
      </c>
      <c r="D3" t="str">
        <v>kg</v>
      </c>
      <c r="E3">
        <v>12000</v>
      </c>
      <c r="F3">
        <v>1500</v>
      </c>
      <c r="G3">
        <v>18000000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</vt:lpstr>
      <vt:lpstr>DTCT</vt:lpstr>
      <vt:lpstr>THVT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