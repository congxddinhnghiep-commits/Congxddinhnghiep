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 to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BAÛNG DÖÏ TOAÙN CHI TIEÁT</v>
      </c>
    </row>
    <row r="2">
      <c r="A2" t="str">
        <v>STT</v>
      </c>
      <c r="B2" t="str">
        <v>Maõ hieäu</v>
      </c>
      <c r="C2" t="str">
        <v>Noäi dung coâng vieäc</v>
      </c>
      <c r="D2" t="str">
        <v>Ñôn vò</v>
      </c>
      <c r="E2" t="str">
        <v>Khoái löôïng</v>
      </c>
      <c r="F2" t="str">
        <v>Ñôn giaù</v>
      </c>
    </row>
    <row r="3">
      <c r="A3" t="str">
        <v>I</v>
      </c>
      <c r="C3" t="str">
        <v>PHAÀN MOÙNG</v>
      </c>
    </row>
    <row r="4">
      <c r="A4">
        <v>1</v>
      </c>
      <c r="B4" t="str">
        <v>AF11111</v>
      </c>
      <c r="C4" t="str">
        <v>Beâ toâng loùt moùng ñaù 4x6 M100</v>
      </c>
      <c r="D4" t="str">
        <v>m3</v>
      </c>
      <c r="E4">
        <v>12.5</v>
      </c>
      <c r="F4" t="e">
        <f>#REF!*1</f>
        <v>#REF!</v>
      </c>
    </row>
    <row r="5">
      <c r="A5">
        <v>2</v>
      </c>
      <c r="B5" t="str">
        <v>AF11213</v>
      </c>
      <c r="C5" t="str">
        <v>Beâ toâng moùng M250</v>
      </c>
      <c r="D5" t="str">
        <v>m3</v>
      </c>
      <c r="E5">
        <v>30</v>
      </c>
    </row>
    <row r="6">
      <c r="A6">
        <v>3</v>
      </c>
      <c r="B6" t="str">
        <v>GTT</v>
      </c>
      <c r="C6" t="str">
        <v>Choáng thaám saøn maùi (taïm tính)</v>
      </c>
      <c r="D6" t="str">
        <v>m2</v>
      </c>
      <c r="E6">
        <v>120</v>
      </c>
      <c r="F6">
        <v>185000</v>
      </c>
    </row>
    <row r="7">
      <c r="A7">
        <v>4</v>
      </c>
      <c r="B7" t="str">
        <v>AB11312</v>
      </c>
      <c r="C7" t="str">
        <v>Ñaøo moùng baêng thuû coâng</v>
      </c>
      <c r="D7" t="str">
        <v>m3</v>
      </c>
      <c r="E7" t="e">
        <f>KLDAO*2</f>
        <v>#NAME?</v>
      </c>
    </row>
    <row r="8">
      <c r="A8">
        <v>5</v>
      </c>
      <c r="B8" t="str">
        <v>AK21124</v>
      </c>
      <c r="C8" t="str">
        <v>Traùt töôøng trong</v>
      </c>
      <c r="D8" t="str">
        <v>m2</v>
      </c>
      <c r="E8">
        <v>250</v>
      </c>
      <c r="F8">
        <f>'[DonGia2025.xlsx]VL'!C12</f>
        <v>65000</v>
      </c>
    </row>
    <row r="9">
      <c r="C9" t="str">
        <v>Coäng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toan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